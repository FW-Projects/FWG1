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<sst xmlns="http://schemas.openxmlformats.org/spreadsheetml/2006/main" count="52" uniqueCount="41">
  <si>
    <t>AT32F415RBT7_WorkBench</t>
  </si>
  <si>
    <t>lto-llvm-db999c.o</t>
  </si>
  <si>
    <t>startup_at32f415.o</t>
  </si>
  <si>
    <t>mf_w.l</t>
  </si>
  <si>
    <t>dadd.o</t>
  </si>
  <si>
    <t>dmul.o</t>
  </si>
  <si>
    <t>mc_w.l</t>
  </si>
  <si>
    <t>depilogue.o</t>
  </si>
  <si>
    <t>fadd.o</t>
  </si>
  <si>
    <t>fepilogue.o</t>
  </si>
  <si>
    <t>fmul.o</t>
  </si>
  <si>
    <t>dfixi.o</t>
  </si>
  <si>
    <t>dfixui.o</t>
  </si>
  <si>
    <t>ffixui.o</t>
  </si>
  <si>
    <t>memseta.o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</si>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</sst>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ram_percent!$A$3:$A$33</c:f>
              <c:strCache>
                <c:ptCount val="31"/>
                <c:pt idx="0">
                  <c:v>lto-llvm-db999c.o</c:v>
                </c:pt>
                <c:pt idx="1">
                  <c:v>startup_at32f415.o</c:v>
                </c:pt>
                <c:pt idx="30">
                  <c:v>Totals</c:v>
                </c:pt>
              </c:strCache>
            </c:strRef>
          </c:cat>
          <c:val>
            <c:numRef>
              <c:f>ram_percent!$B$3:$B$33</c:f>
              <c:numCache>
                <c:formatCode>General</c:formatCode>
                <c:ptCount val="31"/>
                <c:pt idx="0">
                  <c:v>92.83314514160156</c:v>
                </c:pt>
                <c:pt idx="1">
                  <c:v>7.166853427886963</c:v>
                </c:pt>
                <c:pt idx="3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flash_percent!$A$3:$A$33</c:f>
              <c:strCache>
                <c:ptCount val="31"/>
                <c:pt idx="0">
                  <c:v>lto-llvm-db999c.o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dmul.o</c:v>
                </c:pt>
                <c:pt idx="5">
                  <c:v>mc_w.l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dfixui.o</c:v>
                </c:pt>
                <c:pt idx="12">
                  <c:v>ffixui.o</c:v>
                </c:pt>
                <c:pt idx="13">
                  <c:v>memseta.o</c:v>
                </c:pt>
                <c:pt idx="14">
                  <c:v>llsshr.o</c:v>
                </c:pt>
                <c:pt idx="15">
                  <c:v>init.o</c:v>
                </c:pt>
                <c:pt idx="16">
                  <c:v>dflti.o</c:v>
                </c:pt>
                <c:pt idx="17">
                  <c:v>llushr.o</c:v>
                </c:pt>
                <c:pt idx="18">
                  <c:v>llshl.o</c:v>
                </c:pt>
                <c:pt idx="19">
                  <c:v>handlers.o</c:v>
                </c:pt>
                <c:pt idx="20">
                  <c:v>fcmplt.o</c:v>
                </c:pt>
                <c:pt idx="21">
                  <c:v>fcmple.o</c:v>
                </c:pt>
                <c:pt idx="22">
                  <c:v>fcmpgt.o</c:v>
                </c:pt>
                <c:pt idx="23">
                  <c:v>fcmpge.o</c:v>
                </c:pt>
                <c:pt idx="24">
                  <c:v>dfltui.o</c:v>
                </c:pt>
                <c:pt idx="25">
                  <c:v>fflti.o</c:v>
                </c:pt>
                <c:pt idx="26">
                  <c:v>ffltui.o</c:v>
                </c:pt>
                <c:pt idx="27">
                  <c:v>entry9a.o</c:v>
                </c:pt>
                <c:pt idx="28">
                  <c:v>entry2.o</c:v>
                </c:pt>
                <c:pt idx="29">
                  <c:v>entry5.o</c:v>
                </c:pt>
                <c:pt idx="30">
                  <c:v>Totals</c:v>
                </c:pt>
              </c:strCache>
            </c:strRef>
          </c:cat>
          <c:val>
            <c:numRef>
              <c:f>flash_percent!$B$3:$B$33</c:f>
              <c:numCache>
                <c:formatCode>General</c:formatCode>
                <c:ptCount val="31"/>
                <c:pt idx="0">
                  <c:v>94.33794403076172</c:v>
                </c:pt>
                <c:pt idx="1">
                  <c:v>2.204878568649292</c:v>
                </c:pt>
                <c:pt idx="2">
                  <c:v>0.5994421243667603</c:v>
                </c:pt>
                <c:pt idx="3">
                  <c:v>0.4955783784389496</c:v>
                </c:pt>
                <c:pt idx="4">
                  <c:v>0.3382990062236786</c:v>
                </c:pt>
                <c:pt idx="5">
                  <c:v>0.3264288604259491</c:v>
                </c:pt>
                <c:pt idx="6">
                  <c:v>0.2759807705879211</c:v>
                </c:pt>
                <c:pt idx="7">
                  <c:v>0.2611430883407593</c:v>
                </c:pt>
                <c:pt idx="8">
                  <c:v>0.1632144302129746</c:v>
                </c:pt>
                <c:pt idx="9">
                  <c:v>0.1483767628669739</c:v>
                </c:pt>
                <c:pt idx="10">
                  <c:v>0.09199359267950058</c:v>
                </c:pt>
                <c:pt idx="11">
                  <c:v>0.07418838143348694</c:v>
                </c:pt>
                <c:pt idx="12">
                  <c:v>0.05935070291161537</c:v>
                </c:pt>
                <c:pt idx="13">
                  <c:v>0.05341563373804092</c:v>
                </c:pt>
                <c:pt idx="14">
                  <c:v>0.05341563373804092</c:v>
                </c:pt>
                <c:pt idx="15">
                  <c:v>0.05341563373804092</c:v>
                </c:pt>
                <c:pt idx="16">
                  <c:v>0.05044809728860855</c:v>
                </c:pt>
                <c:pt idx="17">
                  <c:v>0.04748056083917618</c:v>
                </c:pt>
                <c:pt idx="18">
                  <c:v>0.0445130281150341</c:v>
                </c:pt>
                <c:pt idx="19">
                  <c:v>0.0445130281150341</c:v>
                </c:pt>
                <c:pt idx="20">
                  <c:v>0.04154549166560173</c:v>
                </c:pt>
                <c:pt idx="21">
                  <c:v>0.04154549166560173</c:v>
                </c:pt>
                <c:pt idx="22">
                  <c:v>0.04154549166560173</c:v>
                </c:pt>
                <c:pt idx="23">
                  <c:v>0.04154549166560173</c:v>
                </c:pt>
                <c:pt idx="24">
                  <c:v>0.03857795894145966</c:v>
                </c:pt>
                <c:pt idx="25">
                  <c:v>0.02670781686902046</c:v>
                </c:pt>
                <c:pt idx="26">
                  <c:v>0.01483767572790384</c:v>
                </c:pt>
                <c:pt idx="27">
                  <c:v>0.01187014020979404</c:v>
                </c:pt>
                <c:pt idx="28">
                  <c:v>0.01187014020979404</c:v>
                </c:pt>
                <c:pt idx="29">
                  <c:v>0.005935070104897022</c:v>
                </c:pt>
                <c:pt idx="3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3" totalsRowCount="1">
  <autoFilter ref="A2:H3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3" totalsRowCount="1">
  <autoFilter ref="A2:H3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31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</row>
    <row r="3" spans="1:8">
      <c r="A3" s="1" t="s">
        <v>1</v>
      </c>
      <c r="B3" s="2">
        <v>92.83314514160156</v>
      </c>
      <c r="C3" s="1">
        <v>13264</v>
      </c>
      <c r="D3" s="1">
        <v>63580</v>
      </c>
      <c r="E3" s="1">
        <v>63318</v>
      </c>
      <c r="F3" s="1">
        <v>130</v>
      </c>
      <c r="G3" s="1">
        <v>132</v>
      </c>
      <c r="H3" s="1">
        <v>13132</v>
      </c>
    </row>
    <row r="4" spans="1:8">
      <c r="A4" s="1" t="s">
        <v>2</v>
      </c>
      <c r="B4" s="2">
        <v>7.166853427886963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3" spans="1:8">
      <c r="A33" t="s">
        <v>32</v>
      </c>
      <c r="B33">
        <f>SUBTOTAL(109,[ram_percent])</f>
        <v>0</v>
      </c>
      <c r="C33">
        <f>SUBTOTAL(109,[ram])</f>
        <v>0</v>
      </c>
      <c r="D33">
        <f>SUBTOTAL(109,[flash])</f>
        <v>0</v>
      </c>
      <c r="E33">
        <f>SUBTOTAL(109,[Code])</f>
        <v>0</v>
      </c>
      <c r="F33">
        <f>SUBTOTAL(109,[RO_data])</f>
        <v>0</v>
      </c>
      <c r="G33">
        <f>SUBTOTAL(109,[RW_data])</f>
        <v>0</v>
      </c>
      <c r="H3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31</v>
      </c>
      <c r="B2" t="s">
        <v>40</v>
      </c>
      <c r="C2" t="s">
        <v>35</v>
      </c>
      <c r="D2" t="s">
        <v>34</v>
      </c>
      <c r="E2" t="s">
        <v>36</v>
      </c>
      <c r="F2" t="s">
        <v>37</v>
      </c>
      <c r="G2" t="s">
        <v>38</v>
      </c>
      <c r="H2" t="s">
        <v>39</v>
      </c>
    </row>
    <row r="3" spans="1:8">
      <c r="A3" s="1" t="s">
        <v>1</v>
      </c>
      <c r="B3" s="2">
        <v>94.33794403076172</v>
      </c>
      <c r="C3" s="1">
        <v>63580</v>
      </c>
      <c r="D3" s="1">
        <v>13264</v>
      </c>
      <c r="E3" s="1">
        <v>63318</v>
      </c>
      <c r="F3" s="1">
        <v>130</v>
      </c>
      <c r="G3" s="1">
        <v>132</v>
      </c>
      <c r="H3" s="1">
        <v>13132</v>
      </c>
    </row>
    <row r="4" spans="1:8">
      <c r="A4" s="1" t="s">
        <v>3</v>
      </c>
      <c r="B4" s="2">
        <v>2.204878568649292</v>
      </c>
      <c r="C4" s="1">
        <v>1486</v>
      </c>
      <c r="D4" s="1">
        <v>0</v>
      </c>
      <c r="E4" s="1">
        <v>1486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0.5994421243667603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0.4955783784389496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0.3382990062236786</v>
      </c>
      <c r="C7" s="1">
        <v>228</v>
      </c>
      <c r="D7" s="1">
        <v>0</v>
      </c>
      <c r="E7" s="1">
        <v>228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0.3264288604259491</v>
      </c>
      <c r="C8" s="1">
        <v>220</v>
      </c>
      <c r="D8" s="1">
        <v>0</v>
      </c>
      <c r="E8" s="1">
        <v>220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0.2759807705879211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0.2611430883407593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0.1632144302129746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0.1483767628669739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0.09199359267950058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0.07418838143348694</v>
      </c>
      <c r="C14" s="1">
        <v>50</v>
      </c>
      <c r="D14" s="1">
        <v>0</v>
      </c>
      <c r="E14" s="1">
        <v>50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0.05935070291161537</v>
      </c>
      <c r="C15" s="1">
        <v>40</v>
      </c>
      <c r="D15" s="1">
        <v>0</v>
      </c>
      <c r="E15" s="1">
        <v>40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0.05341563373804092</v>
      </c>
      <c r="C16" s="1">
        <v>36</v>
      </c>
      <c r="D16" s="1">
        <v>0</v>
      </c>
      <c r="E16" s="1">
        <v>36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0.05341563373804092</v>
      </c>
      <c r="C17" s="1">
        <v>36</v>
      </c>
      <c r="D17" s="1">
        <v>0</v>
      </c>
      <c r="E17" s="1">
        <v>36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0.05341563373804092</v>
      </c>
      <c r="C18" s="1">
        <v>36</v>
      </c>
      <c r="D18" s="1">
        <v>0</v>
      </c>
      <c r="E18" s="1">
        <v>36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0.05044809728860855</v>
      </c>
      <c r="C19" s="1">
        <v>34</v>
      </c>
      <c r="D19" s="1">
        <v>0</v>
      </c>
      <c r="E19" s="1">
        <v>34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0.04748056083917618</v>
      </c>
      <c r="C20" s="1">
        <v>32</v>
      </c>
      <c r="D20" s="1">
        <v>0</v>
      </c>
      <c r="E20" s="1">
        <v>32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0.0445130281150341</v>
      </c>
      <c r="C21" s="1">
        <v>30</v>
      </c>
      <c r="D21" s="1">
        <v>0</v>
      </c>
      <c r="E21" s="1">
        <v>30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0.0445130281150341</v>
      </c>
      <c r="C22" s="1">
        <v>30</v>
      </c>
      <c r="D22" s="1">
        <v>0</v>
      </c>
      <c r="E22" s="1">
        <v>30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0.04154549166560173</v>
      </c>
      <c r="C23" s="1">
        <v>28</v>
      </c>
      <c r="D23" s="1">
        <v>0</v>
      </c>
      <c r="E23" s="1">
        <v>28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0.04154549166560173</v>
      </c>
      <c r="C24" s="1">
        <v>28</v>
      </c>
      <c r="D24" s="1">
        <v>0</v>
      </c>
      <c r="E24" s="1">
        <v>28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0.04154549166560173</v>
      </c>
      <c r="C25" s="1">
        <v>28</v>
      </c>
      <c r="D25" s="1">
        <v>0</v>
      </c>
      <c r="E25" s="1">
        <v>28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0.04154549166560173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0.03857795894145966</v>
      </c>
      <c r="C27" s="1">
        <v>26</v>
      </c>
      <c r="D27" s="1">
        <v>0</v>
      </c>
      <c r="E27" s="1">
        <v>26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0.02670781686902046</v>
      </c>
      <c r="C28" s="1">
        <v>18</v>
      </c>
      <c r="D28" s="1">
        <v>0</v>
      </c>
      <c r="E28" s="1">
        <v>18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0.01483767572790384</v>
      </c>
      <c r="C29" s="1">
        <v>10</v>
      </c>
      <c r="D29" s="1">
        <v>0</v>
      </c>
      <c r="E29" s="1">
        <v>10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0.01187014020979404</v>
      </c>
      <c r="C30" s="1">
        <v>8</v>
      </c>
      <c r="D30" s="1">
        <v>0</v>
      </c>
      <c r="E30" s="1">
        <v>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0.01187014020979404</v>
      </c>
      <c r="C31" s="1">
        <v>8</v>
      </c>
      <c r="D31" s="1">
        <v>0</v>
      </c>
      <c r="E31" s="1">
        <v>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0.005935070104897022</v>
      </c>
      <c r="C32" s="1">
        <v>4</v>
      </c>
      <c r="D32" s="1">
        <v>0</v>
      </c>
      <c r="E32" s="1">
        <v>4</v>
      </c>
      <c r="F32" s="1">
        <v>0</v>
      </c>
      <c r="G32" s="1">
        <v>0</v>
      </c>
      <c r="H32" s="1">
        <v>0</v>
      </c>
    </row>
    <row r="33" spans="1:8">
      <c r="A33" t="s">
        <v>32</v>
      </c>
      <c r="B33">
        <f>SUBTOTAL(109,[flash_percent])</f>
        <v>0</v>
      </c>
      <c r="C33">
        <f>SUBTOTAL(109,[flash])</f>
        <v>0</v>
      </c>
      <c r="D33">
        <f>SUBTOTAL(109,[ram])</f>
        <v>0</v>
      </c>
      <c r="E33">
        <f>SUBTOTAL(109,[Code])</f>
        <v>0</v>
      </c>
      <c r="F33">
        <f>SUBTOTAL(109,[RO_data])</f>
        <v>0</v>
      </c>
      <c r="G33">
        <f>SUBTOTAL(109,[RW_data])</f>
        <v>0</v>
      </c>
      <c r="H3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2025-09-15T09:51:20Z</dcterms:created>
  <dcterms:modified xsi:type="dcterms:W3CDTF">2025-09-15T09:51:20Z</dcterms:modified>
</cp:coreProperties>
</file>